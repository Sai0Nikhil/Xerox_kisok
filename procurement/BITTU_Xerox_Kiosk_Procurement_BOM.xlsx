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ITTU BOM" sheetId="1" r:id="rId1"/>
    <sheet name="Vijayawada Buying Plan" sheetId="2" r:id="rId2"/>
    <sheet name="Tech Stack &amp; Architecture" sheetId="3" r:id="rId3"/>
  </sheets>
  <calcPr calcId="124519" fullCalcOnLoad="1"/>
</workbook>
</file>

<file path=xl/sharedStrings.xml><?xml version="1.0" encoding="utf-8"?>
<sst xmlns="http://schemas.openxmlformats.org/spreadsheetml/2006/main" count="273" uniqueCount="222">
  <si>
    <t>Bittu Xerox Kiosk — Bill of Materials (BOM V2.0)</t>
  </si>
  <si>
    <t>Optimized for Scalability · NVMe PCIe Storage (Zero SD Card) · Lean V1 CAPEX</t>
  </si>
  <si>
    <t>Category</t>
  </si>
  <si>
    <t>Component</t>
  </si>
  <si>
    <t>Exact Search / Model</t>
  </si>
  <si>
    <t>Qty</t>
  </si>
  <si>
    <t>Unit Price (₹)</t>
  </si>
  <si>
    <t>Budget (₹)</t>
  </si>
  <si>
    <t>Buy From</t>
  </si>
  <si>
    <t>Local Vijayawada Target</t>
  </si>
  <si>
    <t>Purchased?</t>
  </si>
  <si>
    <t>Engineering Notes</t>
  </si>
  <si>
    <t>Core Compute</t>
  </si>
  <si>
    <t>Raspberry Pi 5</t>
  </si>
  <si>
    <t>Raspberry Pi 5 (4GB RAM, PCIe Gen2/3)</t>
  </si>
  <si>
    <t>Online / Electronics dealer</t>
  </si>
  <si>
    <t>Governorpet / NTR Complex</t>
  </si>
  <si>
    <t>To Order</t>
  </si>
  <si>
    <t>Main controller &amp; CUPS server</t>
  </si>
  <si>
    <t>Active Cooler</t>
  </si>
  <si>
    <t>Official Raspberry Pi 5 Active Cooler</t>
  </si>
  <si>
    <t>Online / Pi dealer</t>
  </si>
  <si>
    <t>NTR Complex / Robu.in</t>
  </si>
  <si>
    <t>PWM fan + heatsink for thermal safety</t>
  </si>
  <si>
    <t>Power Supply</t>
  </si>
  <si>
    <t>Raspberry Pi 27W USB-C PSU (5.1V/5A PD)</t>
  </si>
  <si>
    <t>Ask Pi retailer</t>
  </si>
  <si>
    <t>Official PSU prevents undervoltage</t>
  </si>
  <si>
    <t>Storage (NVMe)</t>
  </si>
  <si>
    <t>M.2 PCIe HAT+</t>
  </si>
  <si>
    <t>Raspberry Pi M.2 HAT+ (PCIe to NVMe)</t>
  </si>
  <si>
    <t>Online / Electronics shop</t>
  </si>
  <si>
    <t>Robu.in / Silverline</t>
  </si>
  <si>
    <t>CRITICAL: Replaces SD card entirely</t>
  </si>
  <si>
    <t>M.2 NVMe SSD</t>
  </si>
  <si>
    <t>128GB/256GB M.2 2230/2242 PCIe NVMe (WD/Kingston)</t>
  </si>
  <si>
    <t>Computer shop / Amazon</t>
  </si>
  <si>
    <t>NTR Complex / CK Computers</t>
  </si>
  <si>
    <t>150 TBW endurance (Zero corruption, &gt;10yr lifespan)</t>
  </si>
  <si>
    <t>UI &amp; Display</t>
  </si>
  <si>
    <t>15.6" Touchscreen</t>
  </si>
  <si>
    <t>15.6" Full HD (1080p) Capacitive Touch (HDMI + USB)</t>
  </si>
  <si>
    <t>Online / Displays dealer</t>
  </si>
  <si>
    <t>NTR Complex / Waveshare dealer</t>
  </si>
  <si>
    <t>Big touch targets for easy hostel operation</t>
  </si>
  <si>
    <t>Printing Engine</t>
  </si>
  <si>
    <t>Laser Printer</t>
  </si>
  <si>
    <t>Brother DCP-L2541DW / HL-L2321D (Auto-Duplex)</t>
  </si>
  <si>
    <t>Brother Dealer / Wholesale</t>
  </si>
  <si>
    <t>Baid Electronics / Governorpet</t>
  </si>
  <si>
    <t>30 PPM, Auto-duplexing saves 40% paper</t>
  </si>
  <si>
    <t>Consumables</t>
  </si>
  <si>
    <t>High-Yield Toner</t>
  </si>
  <si>
    <t>ProDot / Formujet TN-2365 Compatible (2,600 pp)</t>
  </si>
  <si>
    <t>Printer dealer / Wholesale</t>
  </si>
  <si>
    <t>Cost per page: ₹0.25 (Wholesale quote)</t>
  </si>
  <si>
    <t>75 GSM A4 Paper</t>
  </si>
  <si>
    <t>JK Easy Copier / Century Star (500 sheets/ream)</t>
  </si>
  <si>
    <t>Stationery Wholesale</t>
  </si>
  <si>
    <t>Governorpet Wholesale Market</t>
  </si>
  <si>
    <t>Cost per sheet: ₹0.52 (Bulk rate)</t>
  </si>
  <si>
    <t>Power &amp; UPS</t>
  </si>
  <si>
    <t>600VA UPS</t>
  </si>
  <si>
    <t>600VA / 360W Line-Interactive UPS</t>
  </si>
  <si>
    <t>UPS dealer / Electronics shop</t>
  </si>
  <si>
    <t>Governorpet / Labbipet</t>
  </si>
  <si>
    <t>Buffers power cuts &amp; voltage spikes</t>
  </si>
  <si>
    <t>Smart Power</t>
  </si>
  <si>
    <t>PIR Motion Sensor</t>
  </si>
  <si>
    <t>HC-SR501 PIR Motion Sensor Module</t>
  </si>
  <si>
    <t>Electronics shop / Online</t>
  </si>
  <si>
    <t>NTR Complex (₹50-80 each)</t>
  </si>
  <si>
    <t>3-Tier power management (71% energy savings)</t>
  </si>
  <si>
    <t>Energy Telemetry</t>
  </si>
  <si>
    <t>Energy Meter</t>
  </si>
  <si>
    <t>Single-phase RS485 Modbus DIN-rail kWh Meter</t>
  </si>
  <si>
    <t>Electrical dealer / Online</t>
  </si>
  <si>
    <t>Governorpet Electricals</t>
  </si>
  <si>
    <t>Real-time V/A/W/kWh power monitoring</t>
  </si>
  <si>
    <t>RS485 Adapter</t>
  </si>
  <si>
    <t>Industrial USB to RS485 Converter Adapter</t>
  </si>
  <si>
    <t>NTR Complex</t>
  </si>
  <si>
    <t>Connects energy meter to Pi 5 via USB</t>
  </si>
  <si>
    <t>Thermal Safety</t>
  </si>
  <si>
    <t>Exhaust Fans</t>
  </si>
  <si>
    <t>Dual 120mm 12V PWM Cabinet Exhaust Fans</t>
  </si>
  <si>
    <t>Prevents printer fuser heat buildup</t>
  </si>
  <si>
    <t>Dust Filters</t>
  </si>
  <si>
    <t>120mm Aluminum/PVC Dust Filter Mesh</t>
  </si>
  <si>
    <t>Computer shop / Online</t>
  </si>
  <si>
    <t>Keeps hostel dust out of optics &amp; paper</t>
  </si>
  <si>
    <t>Chassis / Body</t>
  </si>
  <si>
    <t>1.2mm CRCA Steel</t>
  </si>
  <si>
    <t>CNC Laser Cutting + CNC Press Brake Bending</t>
  </si>
  <si>
    <t>Sheet Metal Fabrication Shop</t>
  </si>
  <si>
    <t>Auto Nagar / Kanuru Industrial Area</t>
  </si>
  <si>
    <t>Anti-vandal 1.2mm CRCA steel construction</t>
  </si>
  <si>
    <t>Powder Coating</t>
  </si>
  <si>
    <t>Anti-Rust Epoxy Primer + Matte Finish Coating</t>
  </si>
  <si>
    <t>Powder Coating Vendor</t>
  </si>
  <si>
    <t>Auto Nagar, Vijayawada</t>
  </si>
  <si>
    <t>Industrial durable scratch-proof finish</t>
  </si>
  <si>
    <t>Security Hardware</t>
  </si>
  <si>
    <t>Cam Locks (keyed alike) + Industrial Piano Hinges</t>
  </si>
  <si>
    <t>Hardware shop</t>
  </si>
  <si>
    <t>Governorpet / Hardware market</t>
  </si>
  <si>
    <t>Restricts internal printer access to warden/admin</t>
  </si>
  <si>
    <t>Leveling &amp; Feet</t>
  </si>
  <si>
    <t>4x Heavy-Duty Rubber Leveling Vibration Feet</t>
  </si>
  <si>
    <t>Auto Nagar / Governorpet</t>
  </si>
  <si>
    <t>Damps laser printer vibration on floor</t>
  </si>
  <si>
    <t>Fasteners &amp; Brackets</t>
  </si>
  <si>
    <t>M3/M4/M8 Screws, Nuts, Standoffs, L-Brackets</t>
  </si>
  <si>
    <t>NTR Complex / Hardware shop</t>
  </si>
  <si>
    <t>Mounting Pi, screen, fans, power board</t>
  </si>
  <si>
    <t>Safety &amp; Wiring</t>
  </si>
  <si>
    <t>AC Power Socket</t>
  </si>
  <si>
    <t>Panel-mount Industrial C14 Socket with Fuse &amp; Switch</t>
  </si>
  <si>
    <t>Electrical shop</t>
  </si>
  <si>
    <t>Safe external mains connection point</t>
  </si>
  <si>
    <t>Internal Extension</t>
  </si>
  <si>
    <t>3-Way Surge Protected Power Strip (10A)</t>
  </si>
  <si>
    <t>Powers UPS, printer, and auxiliary rails</t>
  </si>
  <si>
    <t>Cables &amp; Looms</t>
  </si>
  <si>
    <t>HDMI, USB A-B, USB-C, Cable Ties, Heat-shrink</t>
  </si>
  <si>
    <t>Computer shop</t>
  </si>
  <si>
    <t>Navkar Computers / Governorpet</t>
  </si>
  <si>
    <t>Clean harness &amp; AC/DC isolation</t>
  </si>
  <si>
    <t>Audio Feedback</t>
  </si>
  <si>
    <t>Small 5V USB Speaker / Active Buzzer</t>
  </si>
  <si>
    <t>Electronics shop</t>
  </si>
  <si>
    <t>Audio prompt when document prints</t>
  </si>
  <si>
    <t>Scanning (V1)</t>
  </si>
  <si>
    <t>Scanner Status</t>
  </si>
  <si>
    <t>Flatbed Scanner REMOVED in V1 (Mobile Scan-to-Print)</t>
  </si>
  <si>
    <t>N/A (Uses Phone Camera)</t>
  </si>
  <si>
    <t>Saves ₹5,000 in CAPEX &amp; prevents glass vandalism</t>
  </si>
  <si>
    <t>Designed</t>
  </si>
  <si>
    <t>Mobile app upload replaces mechanical flatbed</t>
  </si>
  <si>
    <t>TOTAL BUDGET (INR)</t>
  </si>
  <si>
    <t>Verified Budget: Ready for Pilot Procurement</t>
  </si>
  <si>
    <t>Bittu Xerox Kiosk — Local Vijayawada Procurement Guide</t>
  </si>
  <si>
    <t>Offline Vendor Discovery &amp; Negotiation Targets (NTR Complex, Governorpet, Auto Nagar)</t>
  </si>
  <si>
    <t>Area / Commercial Hub</t>
  </si>
  <si>
    <t>Suggested Vendor / Shop</t>
  </si>
  <si>
    <t>Items to Source &amp; Inquire</t>
  </si>
  <si>
    <t>Negotiation Target &amp; Action Notes</t>
  </si>
  <si>
    <t>Krishna Computer Peripherals</t>
  </si>
  <si>
    <t>Raspberry Pi accessories, M.2 NVMe SSD, HDMI cables</t>
  </si>
  <si>
    <t>Check WD SN580 / Kingston 128GB SSD price (Target: ₹1,500)</t>
  </si>
  <si>
    <t>Navkar Computers &amp; Accessories</t>
  </si>
  <si>
    <t>USB A-B cables, 120mm PWM fans, extension strips</t>
  </si>
  <si>
    <t>Get bundle price for all internal cabling &amp; connectors</t>
  </si>
  <si>
    <t>Mogalrajapuram / Governorpet</t>
  </si>
  <si>
    <t>Baid Electronics / Brother Dealer</t>
  </si>
  <si>
    <t>Brother DCP-L2541DW / HL-L2321D + TN-2365 Toner</t>
  </si>
  <si>
    <t>Ask for institutional cash/GST quotation with 2 spare toners</t>
  </si>
  <si>
    <t>CK Computers / Micro Care</t>
  </si>
  <si>
    <t>600VA Line-Interactive UPS (APC / Microtek / Luminous)</t>
  </si>
  <si>
    <t>Ensure 2-year replacement warranty on UPS battery (Target: ₹2,700)</t>
  </si>
  <si>
    <t>Auto Nagar / Kanuru</t>
  </si>
  <si>
    <t>Laser/CNC Sheet Metal Fabricators</t>
  </si>
  <si>
    <t>1.2mm CRCA Steel Laser Cutting, CNC Bending, Welding</t>
  </si>
  <si>
    <t>Provide kiosk_cad_blueprint.dxf for batch quote (Target: ₹4,500)</t>
  </si>
  <si>
    <t>Auto Nagar Industrial Area</t>
  </si>
  <si>
    <t>Industrial Powder Coating Works</t>
  </si>
  <si>
    <t>Anti-rust 7-tank epoxy primer + Matte black/sand coating</t>
  </si>
  <si>
    <t>Ask for industrial powder coating with 50-micron thickness</t>
  </si>
  <si>
    <t>Governorpet Electrical Market</t>
  </si>
  <si>
    <t>Sri Lakshmi Electricals / Market</t>
  </si>
  <si>
    <t>Panel mount C14 socket with fuse, RS485 energy meter</t>
  </si>
  <si>
    <t>Get DIN-rail single phase Modbus RS485 meter (Target: ₹1,800)</t>
  </si>
  <si>
    <t>Stationery Wholesale Market</t>
  </si>
  <si>
    <t>Sri Balaji Paper Mart / Governorpet</t>
  </si>
  <si>
    <t>75 GSM JK Easy Copier / Century Star A4 Paper</t>
  </si>
  <si>
    <t>Quote for carton box (5 reams = 2,500 sheets @ ₹260/ream)</t>
  </si>
  <si>
    <t>Bittu Xerox Kiosk — Technical Architecture &amp; Moats</t>
  </si>
  <si>
    <t>FastAPI Backend · Telegram Bot · Express-Lane Scheduler · Zero-Disk NVMe</t>
  </si>
  <si>
    <t>Subsystem / Module</t>
  </si>
  <si>
    <t>Technology Stack</t>
  </si>
  <si>
    <t>Core Function &amp; Moat</t>
  </si>
  <si>
    <t>Bottleneck Mitigation</t>
  </si>
  <si>
    <t>Ingress Bot (Primary)</t>
  </si>
  <si>
    <t>python-telegram-bot (v21.5)</t>
  </si>
  <si>
    <t>Zero-cost file forwarding, 2GB upload, inline keyboards</t>
  </si>
  <si>
    <t>Eliminates WhatsApp Meta tier API charges; zero business verification delay</t>
  </si>
  <si>
    <t>Web Ingress (Secondary)</t>
  </si>
  <si>
    <t>QR Mobile Web PWA</t>
  </si>
  <si>
    <t>Camera scan QR upload for non-Telegram users</t>
  </si>
  <si>
    <t>No app install required; responsive mobile web form</t>
  </si>
  <si>
    <t>Core Backend API</t>
  </si>
  <si>
    <t>Python 3.11 + FastAPI (async)</t>
  </si>
  <si>
    <t>Async job state machine, dynamic UPI intent, pricing</t>
  </si>
  <si>
    <t>FastAPI handles 50+ concurrent requests on Pi 5 without lag</t>
  </si>
  <si>
    <t>Database Engine</t>
  </si>
  <si>
    <t>SQLite with WAL Mode</t>
  </si>
  <si>
    <t>Job tracking, OTP management, audit &amp; energy logs</t>
  </si>
  <si>
    <t>PRAGMA journal_mode=WAL eliminates fsync locking &amp; disk corruption</t>
  </si>
  <si>
    <t>Storage Architecture</t>
  </si>
  <si>
    <t>M.2 NVMe SSD (Zero SD Card)</t>
  </si>
  <si>
    <t>PCIe Gen2/3 direct boot storage (150 TBW endurance)</t>
  </si>
  <si>
    <t>Eliminates SD card flash fatigue and power cut corruption</t>
  </si>
  <si>
    <t>Volatile RAM Spooler</t>
  </si>
  <si>
    <t>Linux tmpfs + shred daemon</t>
  </si>
  <si>
    <t>Zero-disk file retention (/tmp/kiosk_spool)</t>
  </si>
  <si>
    <t>Complies with Indian DPDP Act; student files wiped from RAM instantly</t>
  </si>
  <si>
    <t>Print Queue Engine</t>
  </si>
  <si>
    <t>Linux CUPS + Express Lane</t>
  </si>
  <si>
    <t>5-page micro-chunk preemption scheduler</t>
  </si>
  <si>
    <t>1-page admit cards print in &lt;15s without waiting behind 100-page jobs</t>
  </si>
  <si>
    <t>Power Management</t>
  </si>
  <si>
    <t>HC-SR501 PIR + Power Daemon</t>
  </si>
  <si>
    <t>3-Tier sleep state (3 min dim, 15 min sleep, 2-6 AM off)</t>
  </si>
  <si>
    <t>Reduces idle power by 71% (saves ₹320/month per kiosk in electricity)</t>
  </si>
  <si>
    <t>Kiosk Front Interface</t>
  </si>
  <si>
    <t>Chromium Kiosk Mode PWA</t>
  </si>
  <si>
    <t>15.6" touch UI, 4-digit PIN entry, progress animation</t>
  </si>
  <si>
    <t>Touch-friendly buttons, high contrast, multi-language support</t>
  </si>
  <si>
    <t>Campus ERP Bridge</t>
  </si>
  <si>
    <t>FastAPI Adapter Layer</t>
  </si>
  <si>
    <t>1-tap admit card printing from KL University ERP</t>
  </si>
  <si>
    <t>ERP credentials isolated on backend; zero token leak to frontend</t>
  </si>
</sst>
</file>

<file path=xl/styles.xml><?xml version="1.0" encoding="utf-8"?>
<styleSheet xmlns="http://schemas.openxmlformats.org/spreadsheetml/2006/main">
  <numFmts count="1">
    <numFmt numFmtId="164" formatCode="₹#,##0"/>
  </numFmts>
  <fonts count="8">
    <font>
      <sz val="11"/>
      <color theme="1"/>
      <name val="Calibri"/>
      <family val="2"/>
      <scheme val="minor"/>
    </font>
    <font>
      <b/>
      <sz val="14"/>
      <color rgb="FF0F172A"/>
      <name val="Calibri"/>
      <family val="2"/>
      <scheme val="minor"/>
    </font>
    <font>
      <i/>
      <sz val="10"/>
      <color rgb="FFA5731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59669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3E8FF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2E8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6" fillId="8" borderId="1" xfId="0" applyFont="1" applyFill="1" applyBorder="1" applyAlignment="1">
      <alignment horizontal="right"/>
    </xf>
    <xf numFmtId="164" fontId="7" fillId="8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0"/>
  <sheetViews>
    <sheetView tabSelected="1" workbookViewId="0"/>
  </sheetViews>
  <sheetFormatPr defaultRowHeight="15"/>
  <cols>
    <col min="1" max="1" width="16.7109375" customWidth="1"/>
    <col min="2" max="2" width="22.7109375" customWidth="1"/>
    <col min="3" max="3" width="35.7109375" customWidth="1"/>
    <col min="4" max="4" width="6.7109375" customWidth="1"/>
    <col min="5" max="5" width="15.7109375" customWidth="1"/>
    <col min="6" max="6" width="14.7109375" customWidth="1"/>
    <col min="7" max="7" width="22.7109375" customWidth="1"/>
    <col min="8" max="8" width="24.7109375" customWidth="1"/>
    <col min="9" max="9" width="12.7109375" customWidth="1"/>
    <col min="10" max="10" width="32.7109375" customWidth="1"/>
  </cols>
  <sheetData>
    <row r="1" spans="1:10">
      <c r="A1" s="1" t="s">
        <v>0</v>
      </c>
    </row>
    <row r="2" spans="1:10">
      <c r="A2" s="2" t="s">
        <v>1</v>
      </c>
    </row>
    <row r="4" spans="1:10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>
      <c r="A5" s="4" t="s">
        <v>12</v>
      </c>
      <c r="B5" s="5" t="s">
        <v>13</v>
      </c>
      <c r="C5" s="6" t="s">
        <v>14</v>
      </c>
      <c r="D5" s="7">
        <v>1</v>
      </c>
      <c r="E5" s="8">
        <v>8000</v>
      </c>
      <c r="F5" s="8">
        <f>D5*E5</f>
        <v>0</v>
      </c>
      <c r="G5" s="6" t="s">
        <v>15</v>
      </c>
      <c r="H5" s="6" t="s">
        <v>16</v>
      </c>
      <c r="I5" s="7" t="s">
        <v>17</v>
      </c>
      <c r="J5" s="6" t="s">
        <v>18</v>
      </c>
    </row>
    <row r="6" spans="1:10">
      <c r="A6" s="4" t="s">
        <v>12</v>
      </c>
      <c r="B6" s="5" t="s">
        <v>19</v>
      </c>
      <c r="C6" s="6" t="s">
        <v>20</v>
      </c>
      <c r="D6" s="7">
        <v>1</v>
      </c>
      <c r="E6" s="8">
        <v>600</v>
      </c>
      <c r="F6" s="8">
        <f>D6*E6</f>
        <v>0</v>
      </c>
      <c r="G6" s="6" t="s">
        <v>21</v>
      </c>
      <c r="H6" s="6" t="s">
        <v>22</v>
      </c>
      <c r="I6" s="7" t="s">
        <v>17</v>
      </c>
      <c r="J6" s="6" t="s">
        <v>23</v>
      </c>
    </row>
    <row r="7" spans="1:10">
      <c r="A7" s="4" t="s">
        <v>12</v>
      </c>
      <c r="B7" s="5" t="s">
        <v>24</v>
      </c>
      <c r="C7" s="6" t="s">
        <v>25</v>
      </c>
      <c r="D7" s="7">
        <v>1</v>
      </c>
      <c r="E7" s="8">
        <v>1300</v>
      </c>
      <c r="F7" s="8">
        <f>D7*E7</f>
        <v>0</v>
      </c>
      <c r="G7" s="6" t="s">
        <v>21</v>
      </c>
      <c r="H7" s="6" t="s">
        <v>26</v>
      </c>
      <c r="I7" s="7" t="s">
        <v>17</v>
      </c>
      <c r="J7" s="6" t="s">
        <v>27</v>
      </c>
    </row>
    <row r="8" spans="1:10">
      <c r="A8" s="4" t="s">
        <v>28</v>
      </c>
      <c r="B8" s="5" t="s">
        <v>29</v>
      </c>
      <c r="C8" s="6" t="s">
        <v>30</v>
      </c>
      <c r="D8" s="7">
        <v>1</v>
      </c>
      <c r="E8" s="8">
        <v>1100</v>
      </c>
      <c r="F8" s="8">
        <f>D8*E8</f>
        <v>0</v>
      </c>
      <c r="G8" s="6" t="s">
        <v>31</v>
      </c>
      <c r="H8" s="6" t="s">
        <v>32</v>
      </c>
      <c r="I8" s="7" t="s">
        <v>17</v>
      </c>
      <c r="J8" s="6" t="s">
        <v>33</v>
      </c>
    </row>
    <row r="9" spans="1:10">
      <c r="A9" s="4" t="s">
        <v>28</v>
      </c>
      <c r="B9" s="5" t="s">
        <v>34</v>
      </c>
      <c r="C9" s="6" t="s">
        <v>35</v>
      </c>
      <c r="D9" s="7">
        <v>1</v>
      </c>
      <c r="E9" s="8">
        <v>1600</v>
      </c>
      <c r="F9" s="8">
        <f>D9*E9</f>
        <v>0</v>
      </c>
      <c r="G9" s="6" t="s">
        <v>36</v>
      </c>
      <c r="H9" s="6" t="s">
        <v>37</v>
      </c>
      <c r="I9" s="7" t="s">
        <v>17</v>
      </c>
      <c r="J9" s="6" t="s">
        <v>38</v>
      </c>
    </row>
    <row r="10" spans="1:10">
      <c r="A10" s="6" t="s">
        <v>39</v>
      </c>
      <c r="B10" s="5" t="s">
        <v>40</v>
      </c>
      <c r="C10" s="6" t="s">
        <v>41</v>
      </c>
      <c r="D10" s="7">
        <v>1</v>
      </c>
      <c r="E10" s="8">
        <v>7300</v>
      </c>
      <c r="F10" s="8">
        <f>D10*E10</f>
        <v>0</v>
      </c>
      <c r="G10" s="6" t="s">
        <v>42</v>
      </c>
      <c r="H10" s="6" t="s">
        <v>43</v>
      </c>
      <c r="I10" s="7" t="s">
        <v>17</v>
      </c>
      <c r="J10" s="6" t="s">
        <v>44</v>
      </c>
    </row>
    <row r="11" spans="1:10">
      <c r="A11" s="9" t="s">
        <v>45</v>
      </c>
      <c r="B11" s="5" t="s">
        <v>46</v>
      </c>
      <c r="C11" s="6" t="s">
        <v>47</v>
      </c>
      <c r="D11" s="7">
        <v>1</v>
      </c>
      <c r="E11" s="8">
        <v>12200</v>
      </c>
      <c r="F11" s="8">
        <f>D11*E11</f>
        <v>0</v>
      </c>
      <c r="G11" s="6" t="s">
        <v>48</v>
      </c>
      <c r="H11" s="6" t="s">
        <v>49</v>
      </c>
      <c r="I11" s="7" t="s">
        <v>17</v>
      </c>
      <c r="J11" s="6" t="s">
        <v>50</v>
      </c>
    </row>
    <row r="12" spans="1:10">
      <c r="A12" s="9" t="s">
        <v>51</v>
      </c>
      <c r="B12" s="5" t="s">
        <v>52</v>
      </c>
      <c r="C12" s="6" t="s">
        <v>53</v>
      </c>
      <c r="D12" s="7">
        <v>2</v>
      </c>
      <c r="E12" s="8">
        <v>650</v>
      </c>
      <c r="F12" s="8">
        <f>D12*E12</f>
        <v>0</v>
      </c>
      <c r="G12" s="6" t="s">
        <v>54</v>
      </c>
      <c r="H12" s="6" t="s">
        <v>49</v>
      </c>
      <c r="I12" s="7" t="s">
        <v>17</v>
      </c>
      <c r="J12" s="6" t="s">
        <v>55</v>
      </c>
    </row>
    <row r="13" spans="1:10">
      <c r="A13" s="9" t="s">
        <v>51</v>
      </c>
      <c r="B13" s="5" t="s">
        <v>56</v>
      </c>
      <c r="C13" s="6" t="s">
        <v>57</v>
      </c>
      <c r="D13" s="7">
        <v>4</v>
      </c>
      <c r="E13" s="8">
        <v>260</v>
      </c>
      <c r="F13" s="8">
        <f>D13*E13</f>
        <v>0</v>
      </c>
      <c r="G13" s="6" t="s">
        <v>58</v>
      </c>
      <c r="H13" s="6" t="s">
        <v>59</v>
      </c>
      <c r="I13" s="7" t="s">
        <v>17</v>
      </c>
      <c r="J13" s="6" t="s">
        <v>60</v>
      </c>
    </row>
    <row r="14" spans="1:10">
      <c r="A14" s="10" t="s">
        <v>61</v>
      </c>
      <c r="B14" s="5" t="s">
        <v>62</v>
      </c>
      <c r="C14" s="6" t="s">
        <v>63</v>
      </c>
      <c r="D14" s="7">
        <v>1</v>
      </c>
      <c r="E14" s="8">
        <v>2700</v>
      </c>
      <c r="F14" s="8">
        <f>D14*E14</f>
        <v>0</v>
      </c>
      <c r="G14" s="6" t="s">
        <v>64</v>
      </c>
      <c r="H14" s="6" t="s">
        <v>65</v>
      </c>
      <c r="I14" s="7" t="s">
        <v>17</v>
      </c>
      <c r="J14" s="6" t="s">
        <v>66</v>
      </c>
    </row>
    <row r="15" spans="1:10">
      <c r="A15" s="10" t="s">
        <v>67</v>
      </c>
      <c r="B15" s="5" t="s">
        <v>68</v>
      </c>
      <c r="C15" s="6" t="s">
        <v>69</v>
      </c>
      <c r="D15" s="7">
        <v>2</v>
      </c>
      <c r="E15" s="8">
        <v>75</v>
      </c>
      <c r="F15" s="8">
        <f>D15*E15</f>
        <v>0</v>
      </c>
      <c r="G15" s="6" t="s">
        <v>70</v>
      </c>
      <c r="H15" s="6" t="s">
        <v>71</v>
      </c>
      <c r="I15" s="7" t="s">
        <v>17</v>
      </c>
      <c r="J15" s="6" t="s">
        <v>72</v>
      </c>
    </row>
    <row r="16" spans="1:10">
      <c r="A16" s="11" t="s">
        <v>73</v>
      </c>
      <c r="B16" s="5" t="s">
        <v>74</v>
      </c>
      <c r="C16" s="6" t="s">
        <v>75</v>
      </c>
      <c r="D16" s="7">
        <v>1</v>
      </c>
      <c r="E16" s="8">
        <v>1800</v>
      </c>
      <c r="F16" s="8">
        <f>D16*E16</f>
        <v>0</v>
      </c>
      <c r="G16" s="6" t="s">
        <v>76</v>
      </c>
      <c r="H16" s="6" t="s">
        <v>77</v>
      </c>
      <c r="I16" s="7" t="s">
        <v>17</v>
      </c>
      <c r="J16" s="6" t="s">
        <v>78</v>
      </c>
    </row>
    <row r="17" spans="1:10">
      <c r="A17" s="11" t="s">
        <v>73</v>
      </c>
      <c r="B17" s="5" t="s">
        <v>79</v>
      </c>
      <c r="C17" s="6" t="s">
        <v>80</v>
      </c>
      <c r="D17" s="7">
        <v>1</v>
      </c>
      <c r="E17" s="8">
        <v>300</v>
      </c>
      <c r="F17" s="8">
        <f>D17*E17</f>
        <v>0</v>
      </c>
      <c r="G17" s="6" t="s">
        <v>70</v>
      </c>
      <c r="H17" s="6" t="s">
        <v>81</v>
      </c>
      <c r="I17" s="7" t="s">
        <v>17</v>
      </c>
      <c r="J17" s="6" t="s">
        <v>82</v>
      </c>
    </row>
    <row r="18" spans="1:10">
      <c r="A18" s="11" t="s">
        <v>83</v>
      </c>
      <c r="B18" s="5" t="s">
        <v>84</v>
      </c>
      <c r="C18" s="6" t="s">
        <v>85</v>
      </c>
      <c r="D18" s="7">
        <v>2</v>
      </c>
      <c r="E18" s="8">
        <v>350</v>
      </c>
      <c r="F18" s="8">
        <f>D18*E18</f>
        <v>0</v>
      </c>
      <c r="G18" s="6" t="s">
        <v>36</v>
      </c>
      <c r="H18" s="6" t="s">
        <v>81</v>
      </c>
      <c r="I18" s="7" t="s">
        <v>17</v>
      </c>
      <c r="J18" s="6" t="s">
        <v>86</v>
      </c>
    </row>
    <row r="19" spans="1:10">
      <c r="A19" s="11" t="s">
        <v>83</v>
      </c>
      <c r="B19" s="5" t="s">
        <v>87</v>
      </c>
      <c r="C19" s="6" t="s">
        <v>88</v>
      </c>
      <c r="D19" s="7">
        <v>2</v>
      </c>
      <c r="E19" s="8">
        <v>100</v>
      </c>
      <c r="F19" s="8">
        <f>D19*E19</f>
        <v>0</v>
      </c>
      <c r="G19" s="6" t="s">
        <v>89</v>
      </c>
      <c r="H19" s="6" t="s">
        <v>81</v>
      </c>
      <c r="I19" s="7" t="s">
        <v>17</v>
      </c>
      <c r="J19" s="6" t="s">
        <v>90</v>
      </c>
    </row>
    <row r="20" spans="1:10">
      <c r="A20" s="12" t="s">
        <v>91</v>
      </c>
      <c r="B20" s="5" t="s">
        <v>92</v>
      </c>
      <c r="C20" s="6" t="s">
        <v>93</v>
      </c>
      <c r="D20" s="7">
        <v>1</v>
      </c>
      <c r="E20" s="8">
        <v>4500</v>
      </c>
      <c r="F20" s="8">
        <f>D20*E20</f>
        <v>0</v>
      </c>
      <c r="G20" s="6" t="s">
        <v>94</v>
      </c>
      <c r="H20" s="6" t="s">
        <v>95</v>
      </c>
      <c r="I20" s="7" t="s">
        <v>17</v>
      </c>
      <c r="J20" s="6" t="s">
        <v>96</v>
      </c>
    </row>
    <row r="21" spans="1:10">
      <c r="A21" s="12" t="s">
        <v>91</v>
      </c>
      <c r="B21" s="5" t="s">
        <v>97</v>
      </c>
      <c r="C21" s="6" t="s">
        <v>98</v>
      </c>
      <c r="D21" s="7">
        <v>1</v>
      </c>
      <c r="E21" s="8">
        <v>1200</v>
      </c>
      <c r="F21" s="8">
        <f>D21*E21</f>
        <v>0</v>
      </c>
      <c r="G21" s="6" t="s">
        <v>99</v>
      </c>
      <c r="H21" s="6" t="s">
        <v>100</v>
      </c>
      <c r="I21" s="7" t="s">
        <v>17</v>
      </c>
      <c r="J21" s="6" t="s">
        <v>101</v>
      </c>
    </row>
    <row r="22" spans="1:10">
      <c r="A22" s="12" t="s">
        <v>91</v>
      </c>
      <c r="B22" s="5" t="s">
        <v>102</v>
      </c>
      <c r="C22" s="6" t="s">
        <v>103</v>
      </c>
      <c r="D22" s="7">
        <v>1</v>
      </c>
      <c r="E22" s="8">
        <v>500</v>
      </c>
      <c r="F22" s="8">
        <f>D22*E22</f>
        <v>0</v>
      </c>
      <c r="G22" s="6" t="s">
        <v>104</v>
      </c>
      <c r="H22" s="6" t="s">
        <v>105</v>
      </c>
      <c r="I22" s="7" t="s">
        <v>17</v>
      </c>
      <c r="J22" s="6" t="s">
        <v>106</v>
      </c>
    </row>
    <row r="23" spans="1:10">
      <c r="A23" s="12" t="s">
        <v>91</v>
      </c>
      <c r="B23" s="5" t="s">
        <v>107</v>
      </c>
      <c r="C23" s="6" t="s">
        <v>108</v>
      </c>
      <c r="D23" s="7">
        <v>1</v>
      </c>
      <c r="E23" s="8">
        <v>400</v>
      </c>
      <c r="F23" s="8">
        <f>D23*E23</f>
        <v>0</v>
      </c>
      <c r="G23" s="6" t="s">
        <v>104</v>
      </c>
      <c r="H23" s="6" t="s">
        <v>109</v>
      </c>
      <c r="I23" s="7" t="s">
        <v>17</v>
      </c>
      <c r="J23" s="6" t="s">
        <v>110</v>
      </c>
    </row>
    <row r="24" spans="1:10">
      <c r="A24" s="12" t="s">
        <v>91</v>
      </c>
      <c r="B24" s="5" t="s">
        <v>111</v>
      </c>
      <c r="C24" s="6" t="s">
        <v>112</v>
      </c>
      <c r="D24" s="7">
        <v>1</v>
      </c>
      <c r="E24" s="8">
        <v>600</v>
      </c>
      <c r="F24" s="8">
        <f>D24*E24</f>
        <v>0</v>
      </c>
      <c r="G24" s="6" t="s">
        <v>104</v>
      </c>
      <c r="H24" s="6" t="s">
        <v>113</v>
      </c>
      <c r="I24" s="7" t="s">
        <v>17</v>
      </c>
      <c r="J24" s="6" t="s">
        <v>114</v>
      </c>
    </row>
    <row r="25" spans="1:10">
      <c r="A25" s="6" t="s">
        <v>115</v>
      </c>
      <c r="B25" s="5" t="s">
        <v>116</v>
      </c>
      <c r="C25" s="6" t="s">
        <v>117</v>
      </c>
      <c r="D25" s="7">
        <v>1</v>
      </c>
      <c r="E25" s="8">
        <v>250</v>
      </c>
      <c r="F25" s="8">
        <f>D25*E25</f>
        <v>0</v>
      </c>
      <c r="G25" s="6" t="s">
        <v>118</v>
      </c>
      <c r="H25" s="6" t="s">
        <v>77</v>
      </c>
      <c r="I25" s="7" t="s">
        <v>17</v>
      </c>
      <c r="J25" s="6" t="s">
        <v>119</v>
      </c>
    </row>
    <row r="26" spans="1:10">
      <c r="A26" s="6" t="s">
        <v>115</v>
      </c>
      <c r="B26" s="5" t="s">
        <v>120</v>
      </c>
      <c r="C26" s="6" t="s">
        <v>121</v>
      </c>
      <c r="D26" s="7">
        <v>1</v>
      </c>
      <c r="E26" s="8">
        <v>450</v>
      </c>
      <c r="F26" s="8">
        <f>D26*E26</f>
        <v>0</v>
      </c>
      <c r="G26" s="6" t="s">
        <v>118</v>
      </c>
      <c r="H26" s="6" t="s">
        <v>77</v>
      </c>
      <c r="I26" s="7" t="s">
        <v>17</v>
      </c>
      <c r="J26" s="6" t="s">
        <v>122</v>
      </c>
    </row>
    <row r="27" spans="1:10">
      <c r="A27" s="6" t="s">
        <v>115</v>
      </c>
      <c r="B27" s="5" t="s">
        <v>123</v>
      </c>
      <c r="C27" s="6" t="s">
        <v>124</v>
      </c>
      <c r="D27" s="7">
        <v>1</v>
      </c>
      <c r="E27" s="8">
        <v>800</v>
      </c>
      <c r="F27" s="8">
        <f>D27*E27</f>
        <v>0</v>
      </c>
      <c r="G27" s="6" t="s">
        <v>125</v>
      </c>
      <c r="H27" s="6" t="s">
        <v>126</v>
      </c>
      <c r="I27" s="7" t="s">
        <v>17</v>
      </c>
      <c r="J27" s="6" t="s">
        <v>127</v>
      </c>
    </row>
    <row r="28" spans="1:10">
      <c r="A28" s="6" t="s">
        <v>115</v>
      </c>
      <c r="B28" s="5" t="s">
        <v>128</v>
      </c>
      <c r="C28" s="6" t="s">
        <v>129</v>
      </c>
      <c r="D28" s="7">
        <v>1</v>
      </c>
      <c r="E28" s="8">
        <v>250</v>
      </c>
      <c r="F28" s="8">
        <f>D28*E28</f>
        <v>0</v>
      </c>
      <c r="G28" s="6" t="s">
        <v>130</v>
      </c>
      <c r="H28" s="6" t="s">
        <v>81</v>
      </c>
      <c r="I28" s="7" t="s">
        <v>17</v>
      </c>
      <c r="J28" s="6" t="s">
        <v>131</v>
      </c>
    </row>
    <row r="29" spans="1:10">
      <c r="A29" s="6" t="s">
        <v>132</v>
      </c>
      <c r="B29" s="5" t="s">
        <v>133</v>
      </c>
      <c r="C29" s="6" t="s">
        <v>134</v>
      </c>
      <c r="D29" s="7">
        <v>0</v>
      </c>
      <c r="E29" s="8">
        <v>0</v>
      </c>
      <c r="F29" s="8">
        <f>D29*E29</f>
        <v>0</v>
      </c>
      <c r="G29" s="6" t="s">
        <v>135</v>
      </c>
      <c r="H29" s="6" t="s">
        <v>136</v>
      </c>
      <c r="I29" s="7" t="s">
        <v>137</v>
      </c>
      <c r="J29" s="6" t="s">
        <v>138</v>
      </c>
    </row>
    <row r="30" spans="1:10">
      <c r="A30" s="13" t="s">
        <v>139</v>
      </c>
      <c r="B30" s="13"/>
      <c r="C30" s="13"/>
      <c r="D30" s="13"/>
      <c r="E30" s="13"/>
      <c r="F30" s="14">
        <f>SUM(F5:F29)</f>
        <v>0</v>
      </c>
      <c r="G30" s="13"/>
      <c r="H30" s="13"/>
      <c r="I30" s="13"/>
      <c r="J30" s="13" t="s">
        <v>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FormatPr defaultRowHeight="15"/>
  <cols>
    <col min="1" max="1" width="22.7109375" customWidth="1"/>
    <col min="2" max="2" width="28.7109375" customWidth="1"/>
    <col min="3" max="3" width="38.7109375" customWidth="1"/>
    <col min="4" max="4" width="35.7109375" customWidth="1"/>
  </cols>
  <sheetData>
    <row r="1" spans="1:4">
      <c r="A1" s="1" t="s">
        <v>141</v>
      </c>
    </row>
    <row r="2" spans="1:4">
      <c r="A2" s="2" t="s">
        <v>142</v>
      </c>
    </row>
    <row r="4" spans="1:4">
      <c r="A4" s="3" t="s">
        <v>143</v>
      </c>
      <c r="B4" s="3" t="s">
        <v>144</v>
      </c>
      <c r="C4" s="3" t="s">
        <v>145</v>
      </c>
      <c r="D4" s="3" t="s">
        <v>146</v>
      </c>
    </row>
    <row r="5" spans="1:4">
      <c r="A5" s="5" t="s">
        <v>16</v>
      </c>
      <c r="B5" s="6" t="s">
        <v>147</v>
      </c>
      <c r="C5" s="6" t="s">
        <v>148</v>
      </c>
      <c r="D5" s="6" t="s">
        <v>149</v>
      </c>
    </row>
    <row r="6" spans="1:4">
      <c r="A6" s="5" t="s">
        <v>16</v>
      </c>
      <c r="B6" s="6" t="s">
        <v>150</v>
      </c>
      <c r="C6" s="6" t="s">
        <v>151</v>
      </c>
      <c r="D6" s="6" t="s">
        <v>152</v>
      </c>
    </row>
    <row r="7" spans="1:4">
      <c r="A7" s="5" t="s">
        <v>153</v>
      </c>
      <c r="B7" s="6" t="s">
        <v>154</v>
      </c>
      <c r="C7" s="6" t="s">
        <v>155</v>
      </c>
      <c r="D7" s="6" t="s">
        <v>156</v>
      </c>
    </row>
    <row r="8" spans="1:4">
      <c r="A8" s="5" t="s">
        <v>65</v>
      </c>
      <c r="B8" s="6" t="s">
        <v>157</v>
      </c>
      <c r="C8" s="6" t="s">
        <v>158</v>
      </c>
      <c r="D8" s="6" t="s">
        <v>159</v>
      </c>
    </row>
    <row r="9" spans="1:4">
      <c r="A9" s="5" t="s">
        <v>160</v>
      </c>
      <c r="B9" s="6" t="s">
        <v>161</v>
      </c>
      <c r="C9" s="6" t="s">
        <v>162</v>
      </c>
      <c r="D9" s="6" t="s">
        <v>163</v>
      </c>
    </row>
    <row r="10" spans="1:4">
      <c r="A10" s="5" t="s">
        <v>164</v>
      </c>
      <c r="B10" s="6" t="s">
        <v>165</v>
      </c>
      <c r="C10" s="6" t="s">
        <v>166</v>
      </c>
      <c r="D10" s="6" t="s">
        <v>167</v>
      </c>
    </row>
    <row r="11" spans="1:4">
      <c r="A11" s="5" t="s">
        <v>168</v>
      </c>
      <c r="B11" s="6" t="s">
        <v>169</v>
      </c>
      <c r="C11" s="6" t="s">
        <v>170</v>
      </c>
      <c r="D11" s="6" t="s">
        <v>171</v>
      </c>
    </row>
    <row r="12" spans="1:4">
      <c r="A12" s="5" t="s">
        <v>172</v>
      </c>
      <c r="B12" s="6" t="s">
        <v>173</v>
      </c>
      <c r="C12" s="6" t="s">
        <v>174</v>
      </c>
      <c r="D12" s="6" t="s">
        <v>175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4"/>
  <sheetViews>
    <sheetView workbookViewId="0"/>
  </sheetViews>
  <sheetFormatPr defaultRowHeight="15"/>
  <cols>
    <col min="1" max="1" width="20.7109375" customWidth="1"/>
    <col min="2" max="2" width="24.7109375" customWidth="1"/>
    <col min="3" max="3" width="38.7109375" customWidth="1"/>
    <col min="4" max="4" width="35.7109375" customWidth="1"/>
  </cols>
  <sheetData>
    <row r="1" spans="1:4">
      <c r="A1" s="1" t="s">
        <v>176</v>
      </c>
    </row>
    <row r="2" spans="1:4">
      <c r="A2" s="2" t="s">
        <v>177</v>
      </c>
    </row>
    <row r="4" spans="1:4">
      <c r="A4" s="3" t="s">
        <v>178</v>
      </c>
      <c r="B4" s="3" t="s">
        <v>179</v>
      </c>
      <c r="C4" s="3" t="s">
        <v>180</v>
      </c>
      <c r="D4" s="3" t="s">
        <v>181</v>
      </c>
    </row>
    <row r="5" spans="1:4">
      <c r="A5" s="5" t="s">
        <v>182</v>
      </c>
      <c r="B5" s="6" t="s">
        <v>183</v>
      </c>
      <c r="C5" s="6" t="s">
        <v>184</v>
      </c>
      <c r="D5" s="6" t="s">
        <v>185</v>
      </c>
    </row>
    <row r="6" spans="1:4">
      <c r="A6" s="5" t="s">
        <v>186</v>
      </c>
      <c r="B6" s="6" t="s">
        <v>187</v>
      </c>
      <c r="C6" s="6" t="s">
        <v>188</v>
      </c>
      <c r="D6" s="6" t="s">
        <v>189</v>
      </c>
    </row>
    <row r="7" spans="1:4">
      <c r="A7" s="5" t="s">
        <v>190</v>
      </c>
      <c r="B7" s="6" t="s">
        <v>191</v>
      </c>
      <c r="C7" s="6" t="s">
        <v>192</v>
      </c>
      <c r="D7" s="6" t="s">
        <v>193</v>
      </c>
    </row>
    <row r="8" spans="1:4">
      <c r="A8" s="5" t="s">
        <v>194</v>
      </c>
      <c r="B8" s="6" t="s">
        <v>195</v>
      </c>
      <c r="C8" s="6" t="s">
        <v>196</v>
      </c>
      <c r="D8" s="6" t="s">
        <v>197</v>
      </c>
    </row>
    <row r="9" spans="1:4">
      <c r="A9" s="5" t="s">
        <v>198</v>
      </c>
      <c r="B9" s="6" t="s">
        <v>199</v>
      </c>
      <c r="C9" s="6" t="s">
        <v>200</v>
      </c>
      <c r="D9" s="6" t="s">
        <v>201</v>
      </c>
    </row>
    <row r="10" spans="1:4">
      <c r="A10" s="5" t="s">
        <v>202</v>
      </c>
      <c r="B10" s="6" t="s">
        <v>203</v>
      </c>
      <c r="C10" s="6" t="s">
        <v>204</v>
      </c>
      <c r="D10" s="6" t="s">
        <v>205</v>
      </c>
    </row>
    <row r="11" spans="1:4">
      <c r="A11" s="5" t="s">
        <v>206</v>
      </c>
      <c r="B11" s="6" t="s">
        <v>207</v>
      </c>
      <c r="C11" s="6" t="s">
        <v>208</v>
      </c>
      <c r="D11" s="6" t="s">
        <v>209</v>
      </c>
    </row>
    <row r="12" spans="1:4">
      <c r="A12" s="5" t="s">
        <v>210</v>
      </c>
      <c r="B12" s="6" t="s">
        <v>211</v>
      </c>
      <c r="C12" s="6" t="s">
        <v>212</v>
      </c>
      <c r="D12" s="6" t="s">
        <v>213</v>
      </c>
    </row>
    <row r="13" spans="1:4">
      <c r="A13" s="5" t="s">
        <v>214</v>
      </c>
      <c r="B13" s="6" t="s">
        <v>215</v>
      </c>
      <c r="C13" s="6" t="s">
        <v>216</v>
      </c>
      <c r="D13" s="6" t="s">
        <v>217</v>
      </c>
    </row>
    <row r="14" spans="1:4">
      <c r="A14" s="5" t="s">
        <v>218</v>
      </c>
      <c r="B14" s="6" t="s">
        <v>219</v>
      </c>
      <c r="C14" s="6" t="s">
        <v>220</v>
      </c>
      <c r="D14" s="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BITTU BOM</vt:lpstr>
      <vt:lpstr>Vijayawada Buying Plan</vt:lpstr>
      <vt:lpstr>Tech Stack &amp; Architecture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2026-09-28T15:20:21Z</dcterms:created>
  <dcterms:modified xsi:type="dcterms:W3CDTF">2026-09-28T15:20:21Z</dcterms:modified>
</cp:coreProperties>
</file>